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adgerkurtz/Desktop/"/>
    </mc:Choice>
  </mc:AlternateContent>
  <xr:revisionPtr revIDLastSave="0" documentId="11_11F6F6AB868ADBAF99385D1BCB6EED11A04FA116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Events_Extract" sheetId="1" r:id="rId1"/>
    <sheet name="Summary" sheetId="2" r:id="rId2"/>
    <sheet name="Complete_Pull_Code" sheetId="3" r:id="rId3"/>
    <sheet name="Quick_Cou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  <c r="B3" i="4"/>
  <c r="B2" i="4"/>
</calcChain>
</file>

<file path=xl/sharedStrings.xml><?xml version="1.0" encoding="utf-8"?>
<sst xmlns="http://schemas.openxmlformats.org/spreadsheetml/2006/main" count="268" uniqueCount="103">
  <si>
    <t>Row</t>
  </si>
  <si>
    <t>Event ID</t>
  </si>
  <si>
    <t>Event Name</t>
  </si>
  <si>
    <t>Type</t>
  </si>
  <si>
    <t>Event URL</t>
  </si>
  <si>
    <t>Local Date</t>
  </si>
  <si>
    <t>Local Time</t>
  </si>
  <si>
    <t>UTC DateTime</t>
  </si>
  <si>
    <t>Timezone</t>
  </si>
  <si>
    <t>Status</t>
  </si>
  <si>
    <t>Segment</t>
  </si>
  <si>
    <t>Genre</t>
  </si>
  <si>
    <t>Subgenre</t>
  </si>
  <si>
    <t>Promoter</t>
  </si>
  <si>
    <t>Venue</t>
  </si>
  <si>
    <t>City</t>
  </si>
  <si>
    <t>State</t>
  </si>
  <si>
    <t>Postal Code</t>
  </si>
  <si>
    <t>Address</t>
  </si>
  <si>
    <t>Latitude</t>
  </si>
  <si>
    <t>Longitude</t>
  </si>
  <si>
    <t>Primary Attraction</t>
  </si>
  <si>
    <t>Attraction ID</t>
  </si>
  <si>
    <t>Venue ID</t>
  </si>
  <si>
    <t>Extraction Notes</t>
  </si>
  <si>
    <t>17AYv0G65p_a4Yw</t>
  </si>
  <si>
    <t>Eagles - Suite Reservation</t>
  </si>
  <si>
    <t>event</t>
  </si>
  <si>
    <t>https://www.gofevo.com/event/EaglesSphere091826</t>
  </si>
  <si>
    <t>2026-09-18</t>
  </si>
  <si>
    <t>20:30:00</t>
  </si>
  <si>
    <t>America/Los_Angeles</t>
  </si>
  <si>
    <t>onsale</t>
  </si>
  <si>
    <t>Music</t>
  </si>
  <si>
    <t>Rock</t>
  </si>
  <si>
    <t>Pop</t>
  </si>
  <si>
    <t>PROMOTED BY VENUE</t>
  </si>
  <si>
    <t>Sphere</t>
  </si>
  <si>
    <t>Las Vegas</t>
  </si>
  <si>
    <t>NV</t>
  </si>
  <si>
    <t>89169</t>
  </si>
  <si>
    <t>255 Sands Avenue</t>
  </si>
  <si>
    <t>Eagles</t>
  </si>
  <si>
    <t>K8vZ9171ob7</t>
  </si>
  <si>
    <t>KovZ917Atbr</t>
  </si>
  <si>
    <t>Ticketmaster API response visible in web fetch</t>
  </si>
  <si>
    <t>1AvjZ_aGkU6vXnK</t>
  </si>
  <si>
    <t>Eagles Live at Sphere</t>
  </si>
  <si>
    <t>https://www.ticketmaster.com/eagles-live-at-sphere-las-vegas-nevada-09-18-2026/event/1700649D8707EA93</t>
  </si>
  <si>
    <t>LIVE NATION MUSIC</t>
  </si>
  <si>
    <t>17AYv0G65p_agsv</t>
  </si>
  <si>
    <t>https://www.gofevo.com/event/EaglesSphere091926</t>
  </si>
  <si>
    <t>2026-09-19</t>
  </si>
  <si>
    <t>1AvjZ_aGkU6FCl6</t>
  </si>
  <si>
    <t>https://www.ticketmaster.com/eagles-live-at-sphere-las-vegas-nevada-09-19-2026/event/1700649D8720EAC7</t>
  </si>
  <si>
    <t>1A9Zk37GkdXVozi</t>
  </si>
  <si>
    <t>https://www.ticketmaster.com/eagles-live-at-sphere-las-vegas-nevada-11-13-2026/event/17006484FED11E2C</t>
  </si>
  <si>
    <t>2026-11-13</t>
  </si>
  <si>
    <t>Partially extracted from visible API response; date inferred from event URL/date markers</t>
  </si>
  <si>
    <t>17AYv0G65p_1Ps9</t>
  </si>
  <si>
    <t>https://www.gofevo.com/event/EaglesSphere111426</t>
  </si>
  <si>
    <t>2026-11-14</t>
  </si>
  <si>
    <t>1A9Zk37GkdXg-zV</t>
  </si>
  <si>
    <t>https://www.ticketmaster.com/eagles-live-at-sphere-las-vegas-nevada-11-14-2026/event/17006484FED61E34</t>
  </si>
  <si>
    <t>1A9Zk37GkdXUsyv</t>
  </si>
  <si>
    <t>https://www.ticketmaster.com/eagles-live-at-sphere-las-vegas-nevada-11-27-2026/event/17006484FEDB1E41</t>
  </si>
  <si>
    <t>2026-11-27</t>
  </si>
  <si>
    <t>17AYv0G65p_54s-</t>
  </si>
  <si>
    <t>https://www.gofevo.com/event/EaglesSphere112826</t>
  </si>
  <si>
    <t>2026-11-28</t>
  </si>
  <si>
    <t>1A9Zk37GkdXzvy5</t>
  </si>
  <si>
    <t>https://www.ticketmaster.com/eagles-live-at-sphere-las-vegas-nevada-11-28-2026/event/17006484FEE01E4B</t>
  </si>
  <si>
    <t>Ticketmaster Discovery API Extract</t>
  </si>
  <si>
    <t>Source URL</t>
  </si>
  <si>
    <t>https://app.ticketmaster.com/discovery/v2/events.json?countryCode=US&amp;apikey=EJwR7qmVs9BHicU5jdAFKf4JILJF1BhI</t>
  </si>
  <si>
    <t>Workbook created</t>
  </si>
  <si>
    <t>2026-05-21</t>
  </si>
  <si>
    <t>Rows populated</t>
  </si>
  <si>
    <t>Important limitation</t>
  </si>
  <si>
    <t>The attached workbook contains the actual fields I could extract from the API response visible to the browser tool. The workbook-generation environment itself cannot resolve external DNS/API calls, so it could not directly pull and flatten the full endpoint internally.</t>
  </si>
  <si>
    <t>Recommended complete pull URL for 500 records</t>
  </si>
  <si>
    <t>https://app.ticketmaster.com/discovery/v2/events.json?countryCode=US&amp;apikey=EJwR7qmVs9BHicU5jdAFKf4JILJF1BhI&amp;size=500</t>
  </si>
  <si>
    <t>Discovery API paging note</t>
  </si>
  <si>
    <t>Ticketmaster supports size/page parameters. For 500 records, use size=500 if allowed by API response; otherwise page in chunks such as size=200&amp;page=0,1,2.</t>
  </si>
  <si>
    <t>Purpose</t>
  </si>
  <si>
    <t>Code / Instructions</t>
  </si>
  <si>
    <t>Excel Power Query M</t>
  </si>
  <si>
    <t>Use Data &gt; Get Data &gt; Blank Query &gt; Advanced Editor, paste the M code below, and load to table.</t>
  </si>
  <si>
    <t>M code</t>
  </si>
  <si>
    <t>let
    Source = Json.Document(Web.Contents("https://app.ticketmaster.com/discovery/v2/events.json", [Query=[countryCode="US", apikey="EJwR7qmVs9BHicU5jdAFKf4JILJF1BhI", size="500"]])),
    Events = Source[_embedded][events],
    Table = Table.FromList(Events, Splitter.SplitByNothing(), null, null, ExtraValues.Error),
    Expanded = Table.ExpandRecordColumn(Table, "Column1", {"id", "name", "type", "url", "locale", "dates", "classifications", "promoter", "_embedded"}, {"Event ID", "Event Name", "Type", "Event URL", "Locale", "dates", "classifications", "promoter", "embedded"}),
    AddLocalDate = Table.AddColumn(Expanded, "Local Date", each try [dates][start][localDate] otherwise null),
    AddLocalTime = Table.AddColumn(AddLocalDate, "Local Time", each try [dates][start][localTime] otherwise null),
    AddDateTime = Table.AddColumn(AddLocalTime, "UTC DateTime", each try [dates][start][dateTime] otherwise null),
    AddTimezone = Table.AddColumn(AddDateTime, "Timezone", each try [dates][timezone] otherwise null),
    AddStatus = Table.AddColumn(AddTimezone, "Status", each try [dates][status][code] otherwise null),
    AddSegment = Table.AddColumn(AddStatus, "Segment", each try [classifications]{0}[segment][name] otherwise null),
    AddGenre = Table.AddColumn(AddSegment, "Genre", each try [classifications]{0}[genre][name] otherwise null),
    AddSubgenre = Table.AddColumn(AddGenre, "Subgenre", each try [classifications]{0}[subGenre][name] otherwise null),
    AddPromoter = Table.AddColumn(AddSubgenre, "Promoter", each try [promoter][name] otherwise null),
    AddVenue = Table.AddColumn(AddPromoter, "Venue", each try [embedded][venues]{0}[name] otherwise null),
    AddCity = Table.AddColumn(AddVenue, "City", each try [embedded][venues]{0}[city][name] otherwise null),
    AddState = Table.AddColumn(AddCity, "State", each try [embedded][venues]{0}[state][stateCode] otherwise null),
    AddPostal = Table.AddColumn(AddState, "Postal Code", each try [embedded][venues]{0}[postalCode] otherwise null),
    AddAddress = Table.AddColumn(AddPostal, "Address", each try [embedded][venues]{0}[address][line1] otherwise null),
    AddLat = Table.AddColumn(AddAddress, "Latitude", each try [embedded][venues]{0}[location][latitude] otherwise null),
    AddLon = Table.AddColumn(AddLat, "Longitude", each try [embedded][venues]{0}[location][longitude] otherwise null),
    Final = Table.RemoveColumns(AddLon, {"dates", "classifications", "promoter", "embedded"})
in
    Final</t>
  </si>
  <si>
    <t>Python alternative</t>
  </si>
  <si>
    <t>Run this outside the restricted sandbox to generate a complete CSV/XLSX from the same endpoint.</t>
  </si>
  <si>
    <t>Python code</t>
  </si>
  <si>
    <t>import requests, pandas as pd
url = "https://app.ticketmaster.com/discovery/v2/events.json"
params = {"countryCode":"US", "apikey":"EJwR7qmVs9BHicU5jdAFKf4JILJF1BhI", "size":500}
data = requests.get(url, params=params, timeout=30).json()
events = data.get("_embedded", {}).get("events", [])
rows = []
for e in events:
    venue = (e.get("_embedded", {}).get("venues") or [{}])[0]
    cls = (e.get("classifications") or [{}])[0]
    rows.append({
        "Event ID": e.get("id"),
        "Event Name": e.get("name"),
        "Event URL": e.get("url"),
        "Local Date": e.get("dates", {}).get("start", {}).get("localDate"),
        "Local Time": e.get("dates", {}).get("start", {}).get("localTime"),
        "Status": e.get("dates", {}).get("status", {}).get("code"),
        "Segment": cls.get("segment", {}).get("name"),
        "Genre": cls.get("genre", {}).get("name"),
        "Venue": venue.get("name"),
        "City": venue.get("city", {}).get("name"),
        "State": venue.get("state", {}).get("stateCode"),
        "Postal Code": venue.get("postalCode"),
        "Latitude": venue.get("location", {}).get("latitude"),
        "Longitude": venue.get("location", {}).get("longitude"),
    })
pd.DataFrame(rows).to_excel("ticketmaster_events.xlsx", index=False)</t>
  </si>
  <si>
    <t>Note</t>
  </si>
  <si>
    <t>This sheet is included so the workbook can be completed cleanly from Excel/Power Query or a local Python environment if a fully hydrated 500-row API pull is required.</t>
  </si>
  <si>
    <t>Metric</t>
  </si>
  <si>
    <t>Value</t>
  </si>
  <si>
    <t>Rows</t>
  </si>
  <si>
    <t>Unique Events</t>
  </si>
  <si>
    <t>Unique Venues</t>
  </si>
  <si>
    <t>Unique Cities</t>
  </si>
  <si>
    <t>Primary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</si>
</sst>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2" fillId="2" borderId="0" xfId="0" applyFont="1" applyFill="1"/>
    <xf numFmtId="0" fontId="3" fillId="3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sExtractTable" displayName="EventsExtractTable" ref="A1:Y11">
  <tableColumns count="25">
    <tableColumn id="1" xr3:uid="{00000000-0010-0000-0000-000001000000}" name="Row"/>
    <tableColumn id="2" xr3:uid="{00000000-0010-0000-0000-000002000000}" name="Event ID"/>
    <tableColumn id="3" xr3:uid="{00000000-0010-0000-0000-000003000000}" name="Event Name"/>
    <tableColumn id="4" xr3:uid="{00000000-0010-0000-0000-000004000000}" name="Type"/>
    <tableColumn id="5" xr3:uid="{00000000-0010-0000-0000-000005000000}" name="Event URL"/>
    <tableColumn id="6" xr3:uid="{00000000-0010-0000-0000-000006000000}" name="Local Date"/>
    <tableColumn id="7" xr3:uid="{00000000-0010-0000-0000-000007000000}" name="Local Time"/>
    <tableColumn id="8" xr3:uid="{00000000-0010-0000-0000-000008000000}" name="UTC DateTime"/>
    <tableColumn id="9" xr3:uid="{00000000-0010-0000-0000-000009000000}" name="Timezone"/>
    <tableColumn id="10" xr3:uid="{00000000-0010-0000-0000-00000A000000}" name="Status"/>
    <tableColumn id="11" xr3:uid="{00000000-0010-0000-0000-00000B000000}" name="Segment"/>
    <tableColumn id="12" xr3:uid="{00000000-0010-0000-0000-00000C000000}" name="Genre"/>
    <tableColumn id="13" xr3:uid="{00000000-0010-0000-0000-00000D000000}" name="Subgenre"/>
    <tableColumn id="14" xr3:uid="{00000000-0010-0000-0000-00000E000000}" name="Promoter"/>
    <tableColumn id="15" xr3:uid="{00000000-0010-0000-0000-00000F000000}" name="Venue"/>
    <tableColumn id="16" xr3:uid="{00000000-0010-0000-0000-000010000000}" name="City"/>
    <tableColumn id="17" xr3:uid="{00000000-0010-0000-0000-000011000000}" name="State"/>
    <tableColumn id="18" xr3:uid="{00000000-0010-0000-0000-000012000000}" name="Postal Code"/>
    <tableColumn id="19" xr3:uid="{00000000-0010-0000-0000-000013000000}" name="Address"/>
    <tableColumn id="20" xr3:uid="{00000000-0010-0000-0000-000014000000}" name="Latitude"/>
    <tableColumn id="21" xr3:uid="{00000000-0010-0000-0000-000015000000}" name="Longitude"/>
    <tableColumn id="22" xr3:uid="{00000000-0010-0000-0000-000016000000}" name="Primary Attraction"/>
    <tableColumn id="23" xr3:uid="{00000000-0010-0000-0000-000017000000}" name="Attraction ID"/>
    <tableColumn id="24" xr3:uid="{00000000-0010-0000-0000-000018000000}" name="Venue ID"/>
    <tableColumn id="25" xr3:uid="{00000000-0010-0000-0000-000019000000}" name="Extrac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/>
  </sheetViews>
  <sheetFormatPr baseColWidth="10" defaultColWidth="8.83203125" defaultRowHeight="14"/>
  <cols>
    <col min="1" max="1" width="8" customWidth="1"/>
    <col min="2" max="2" width="20" customWidth="1"/>
    <col min="3" max="3" width="28" customWidth="1"/>
    <col min="4" max="4" width="10" customWidth="1"/>
    <col min="5" max="5" width="58" customWidth="1"/>
    <col min="6" max="6" width="13" customWidth="1"/>
    <col min="7" max="7" width="12" customWidth="1"/>
    <col min="8" max="9" width="24" customWidth="1"/>
    <col min="10" max="10" width="12" customWidth="1"/>
    <col min="11" max="13" width="14" customWidth="1"/>
    <col min="14" max="14" width="22" customWidth="1"/>
    <col min="15" max="15" width="18" customWidth="1"/>
    <col min="16" max="16" width="14" customWidth="1"/>
    <col min="17" max="17" width="10" customWidth="1"/>
    <col min="18" max="18" width="12" customWidth="1"/>
    <col min="19" max="19" width="22" customWidth="1"/>
    <col min="20" max="21" width="14" customWidth="1"/>
    <col min="22" max="22" width="22" customWidth="1"/>
    <col min="23" max="24" width="18" customWidth="1"/>
    <col min="25" max="25" width="44" customWidth="1"/>
  </cols>
  <sheetData>
    <row r="1" spans="1:25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2" t="s">
        <v>30</v>
      </c>
      <c r="H2" s="2">
        <v>46284.145833333336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4">
        <v>36.120726699999999</v>
      </c>
      <c r="U2" s="4">
        <v>-115.1642896</v>
      </c>
      <c r="V2" s="2" t="s">
        <v>42</v>
      </c>
      <c r="W2" s="2" t="s">
        <v>43</v>
      </c>
      <c r="X2" s="2" t="s">
        <v>44</v>
      </c>
      <c r="Y2" s="2" t="s">
        <v>45</v>
      </c>
    </row>
    <row r="3" spans="1:25" ht="30">
      <c r="A3" s="2">
        <v>2</v>
      </c>
      <c r="B3" s="2" t="s">
        <v>46</v>
      </c>
      <c r="C3" s="2" t="s">
        <v>47</v>
      </c>
      <c r="D3" s="2" t="s">
        <v>27</v>
      </c>
      <c r="E3" s="2" t="s">
        <v>48</v>
      </c>
      <c r="F3" s="3" t="s">
        <v>29</v>
      </c>
      <c r="G3" s="2" t="s">
        <v>30</v>
      </c>
      <c r="H3" s="2">
        <v>46284.145833333336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49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4">
        <v>36.120726699999999</v>
      </c>
      <c r="U3" s="4">
        <v>-115.1642896</v>
      </c>
      <c r="V3" s="2" t="s">
        <v>42</v>
      </c>
      <c r="W3" s="2" t="s">
        <v>43</v>
      </c>
      <c r="X3" s="2" t="s">
        <v>44</v>
      </c>
      <c r="Y3" s="2" t="s">
        <v>45</v>
      </c>
    </row>
    <row r="4" spans="1:25" ht="15">
      <c r="A4" s="2">
        <v>3</v>
      </c>
      <c r="B4" s="2" t="s">
        <v>50</v>
      </c>
      <c r="C4" s="2" t="s">
        <v>26</v>
      </c>
      <c r="D4" s="2" t="s">
        <v>27</v>
      </c>
      <c r="E4" s="2" t="s">
        <v>51</v>
      </c>
      <c r="F4" s="3" t="s">
        <v>52</v>
      </c>
      <c r="G4" s="2" t="s">
        <v>30</v>
      </c>
      <c r="H4" s="2">
        <v>46285.145833333336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4">
        <v>36.120726699999999</v>
      </c>
      <c r="U4" s="4">
        <v>-115.1642896</v>
      </c>
      <c r="V4" s="2" t="s">
        <v>42</v>
      </c>
      <c r="W4" s="2" t="s">
        <v>43</v>
      </c>
      <c r="X4" s="2" t="s">
        <v>44</v>
      </c>
      <c r="Y4" s="2" t="s">
        <v>45</v>
      </c>
    </row>
    <row r="5" spans="1:25" ht="30">
      <c r="A5" s="2">
        <v>4</v>
      </c>
      <c r="B5" s="2" t="s">
        <v>53</v>
      </c>
      <c r="C5" s="2" t="s">
        <v>47</v>
      </c>
      <c r="D5" s="2" t="s">
        <v>27</v>
      </c>
      <c r="E5" s="2" t="s">
        <v>54</v>
      </c>
      <c r="F5" s="3" t="s">
        <v>52</v>
      </c>
      <c r="G5" s="2" t="s">
        <v>30</v>
      </c>
      <c r="H5" s="2">
        <v>46285.145833333336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35</v>
      </c>
      <c r="N5" s="2" t="s">
        <v>49</v>
      </c>
      <c r="O5" s="2" t="s">
        <v>37</v>
      </c>
      <c r="P5" s="2" t="s">
        <v>38</v>
      </c>
      <c r="Q5" s="2" t="s">
        <v>39</v>
      </c>
      <c r="R5" s="2" t="s">
        <v>40</v>
      </c>
      <c r="S5" s="2" t="s">
        <v>41</v>
      </c>
      <c r="T5" s="4">
        <v>36.120726699999999</v>
      </c>
      <c r="U5" s="4">
        <v>-115.1642896</v>
      </c>
      <c r="V5" s="2" t="s">
        <v>42</v>
      </c>
      <c r="W5" s="2" t="s">
        <v>43</v>
      </c>
      <c r="X5" s="2" t="s">
        <v>44</v>
      </c>
      <c r="Y5" s="2" t="s">
        <v>45</v>
      </c>
    </row>
    <row r="6" spans="1:25" ht="30">
      <c r="A6" s="2">
        <v>5</v>
      </c>
      <c r="B6" s="2" t="s">
        <v>55</v>
      </c>
      <c r="C6" s="2" t="s">
        <v>47</v>
      </c>
      <c r="D6" s="2" t="s">
        <v>27</v>
      </c>
      <c r="E6" s="2" t="s">
        <v>56</v>
      </c>
      <c r="F6" s="3" t="s">
        <v>57</v>
      </c>
      <c r="G6" s="2" t="s">
        <v>30</v>
      </c>
      <c r="H6" s="2">
        <v>46340.1875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35</v>
      </c>
      <c r="N6" s="2" t="s">
        <v>49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41</v>
      </c>
      <c r="T6" s="4">
        <v>36.120726699999999</v>
      </c>
      <c r="U6" s="4">
        <v>-115.1642896</v>
      </c>
      <c r="V6" s="2" t="s">
        <v>42</v>
      </c>
      <c r="W6" s="2" t="s">
        <v>43</v>
      </c>
      <c r="X6" s="2" t="s">
        <v>44</v>
      </c>
      <c r="Y6" s="2" t="s">
        <v>58</v>
      </c>
    </row>
    <row r="7" spans="1:25" ht="15">
      <c r="A7" s="2">
        <v>6</v>
      </c>
      <c r="B7" s="2" t="s">
        <v>59</v>
      </c>
      <c r="C7" s="2" t="s">
        <v>26</v>
      </c>
      <c r="D7" s="2" t="s">
        <v>27</v>
      </c>
      <c r="E7" s="2" t="s">
        <v>60</v>
      </c>
      <c r="F7" s="3" t="s">
        <v>61</v>
      </c>
      <c r="G7" s="2" t="s">
        <v>30</v>
      </c>
      <c r="H7" s="2">
        <v>46341.1875</v>
      </c>
      <c r="I7" s="2" t="s">
        <v>31</v>
      </c>
      <c r="J7" s="2" t="s">
        <v>32</v>
      </c>
      <c r="K7" s="2" t="s">
        <v>33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2" t="s">
        <v>40</v>
      </c>
      <c r="S7" s="2" t="s">
        <v>41</v>
      </c>
      <c r="T7" s="4">
        <v>36.120726699999999</v>
      </c>
      <c r="U7" s="4">
        <v>-115.1642896</v>
      </c>
      <c r="V7" s="2" t="s">
        <v>42</v>
      </c>
      <c r="W7" s="2" t="s">
        <v>43</v>
      </c>
      <c r="X7" s="2" t="s">
        <v>44</v>
      </c>
      <c r="Y7" s="2" t="s">
        <v>45</v>
      </c>
    </row>
    <row r="8" spans="1:25" ht="30">
      <c r="A8" s="2">
        <v>7</v>
      </c>
      <c r="B8" s="2" t="s">
        <v>62</v>
      </c>
      <c r="C8" s="2" t="s">
        <v>47</v>
      </c>
      <c r="D8" s="2" t="s">
        <v>27</v>
      </c>
      <c r="E8" s="2" t="s">
        <v>63</v>
      </c>
      <c r="F8" s="3" t="s">
        <v>61</v>
      </c>
      <c r="G8" s="2" t="s">
        <v>30</v>
      </c>
      <c r="H8" s="2">
        <v>46341.1875</v>
      </c>
      <c r="I8" s="2" t="s">
        <v>31</v>
      </c>
      <c r="J8" s="2" t="s">
        <v>32</v>
      </c>
      <c r="K8" s="2" t="s">
        <v>33</v>
      </c>
      <c r="L8" s="2" t="s">
        <v>34</v>
      </c>
      <c r="M8" s="2" t="s">
        <v>35</v>
      </c>
      <c r="N8" s="2" t="s">
        <v>49</v>
      </c>
      <c r="O8" s="2" t="s">
        <v>37</v>
      </c>
      <c r="P8" s="2" t="s">
        <v>38</v>
      </c>
      <c r="Q8" s="2" t="s">
        <v>39</v>
      </c>
      <c r="R8" s="2" t="s">
        <v>40</v>
      </c>
      <c r="S8" s="2" t="s">
        <v>41</v>
      </c>
      <c r="T8" s="4">
        <v>36.120726699999999</v>
      </c>
      <c r="U8" s="4">
        <v>-115.1642896</v>
      </c>
      <c r="V8" s="2" t="s">
        <v>42</v>
      </c>
      <c r="W8" s="2" t="s">
        <v>43</v>
      </c>
      <c r="X8" s="2" t="s">
        <v>44</v>
      </c>
      <c r="Y8" s="2" t="s">
        <v>45</v>
      </c>
    </row>
    <row r="9" spans="1:25" ht="30">
      <c r="A9" s="2">
        <v>8</v>
      </c>
      <c r="B9" s="2" t="s">
        <v>64</v>
      </c>
      <c r="C9" s="2" t="s">
        <v>47</v>
      </c>
      <c r="D9" s="2" t="s">
        <v>27</v>
      </c>
      <c r="E9" s="2" t="s">
        <v>65</v>
      </c>
      <c r="F9" s="3" t="s">
        <v>66</v>
      </c>
      <c r="G9" s="2" t="s">
        <v>30</v>
      </c>
      <c r="H9" s="2">
        <v>46354.1875</v>
      </c>
      <c r="I9" s="2" t="s">
        <v>31</v>
      </c>
      <c r="J9" s="2" t="s">
        <v>32</v>
      </c>
      <c r="K9" s="2" t="s">
        <v>33</v>
      </c>
      <c r="L9" s="2" t="s">
        <v>34</v>
      </c>
      <c r="M9" s="2" t="s">
        <v>35</v>
      </c>
      <c r="N9" s="2" t="s">
        <v>49</v>
      </c>
      <c r="O9" s="2" t="s">
        <v>37</v>
      </c>
      <c r="P9" s="2" t="s">
        <v>38</v>
      </c>
      <c r="Q9" s="2" t="s">
        <v>39</v>
      </c>
      <c r="R9" s="2" t="s">
        <v>40</v>
      </c>
      <c r="S9" s="2" t="s">
        <v>41</v>
      </c>
      <c r="T9" s="4">
        <v>36.120726699999999</v>
      </c>
      <c r="U9" s="4">
        <v>-115.1642896</v>
      </c>
      <c r="V9" s="2" t="s">
        <v>42</v>
      </c>
      <c r="W9" s="2" t="s">
        <v>43</v>
      </c>
      <c r="X9" s="2" t="s">
        <v>44</v>
      </c>
      <c r="Y9" s="2" t="s">
        <v>58</v>
      </c>
    </row>
    <row r="10" spans="1:25" ht="15">
      <c r="A10" s="2">
        <v>9</v>
      </c>
      <c r="B10" s="2" t="s">
        <v>67</v>
      </c>
      <c r="C10" s="2" t="s">
        <v>26</v>
      </c>
      <c r="D10" s="2" t="s">
        <v>27</v>
      </c>
      <c r="E10" s="2" t="s">
        <v>68</v>
      </c>
      <c r="F10" s="3" t="s">
        <v>69</v>
      </c>
      <c r="G10" s="2" t="s">
        <v>30</v>
      </c>
      <c r="H10" s="2">
        <v>46355.1875</v>
      </c>
      <c r="I10" s="2" t="s">
        <v>31</v>
      </c>
      <c r="J10" s="2" t="s">
        <v>32</v>
      </c>
      <c r="K10" s="2" t="s">
        <v>33</v>
      </c>
      <c r="L10" s="2" t="s">
        <v>34</v>
      </c>
      <c r="M10" s="2" t="s">
        <v>35</v>
      </c>
      <c r="N10" s="2" t="s">
        <v>36</v>
      </c>
      <c r="O10" s="2" t="s">
        <v>37</v>
      </c>
      <c r="P10" s="2" t="s">
        <v>38</v>
      </c>
      <c r="Q10" s="2" t="s">
        <v>39</v>
      </c>
      <c r="R10" s="2" t="s">
        <v>40</v>
      </c>
      <c r="S10" s="2" t="s">
        <v>41</v>
      </c>
      <c r="T10" s="4">
        <v>36.120726699999999</v>
      </c>
      <c r="U10" s="4">
        <v>-115.1642896</v>
      </c>
      <c r="V10" s="2" t="s">
        <v>42</v>
      </c>
      <c r="W10" s="2" t="s">
        <v>43</v>
      </c>
      <c r="X10" s="2" t="s">
        <v>44</v>
      </c>
      <c r="Y10" s="2" t="s">
        <v>45</v>
      </c>
    </row>
    <row r="11" spans="1:25" ht="30">
      <c r="A11" s="2">
        <v>10</v>
      </c>
      <c r="B11" s="2" t="s">
        <v>70</v>
      </c>
      <c r="C11" s="2" t="s">
        <v>47</v>
      </c>
      <c r="D11" s="2" t="s">
        <v>27</v>
      </c>
      <c r="E11" s="2" t="s">
        <v>71</v>
      </c>
      <c r="F11" s="3" t="s">
        <v>69</v>
      </c>
      <c r="G11" s="2" t="s">
        <v>30</v>
      </c>
      <c r="H11" s="2">
        <v>46355.1875</v>
      </c>
      <c r="I11" s="2" t="s">
        <v>31</v>
      </c>
      <c r="J11" s="2" t="s">
        <v>32</v>
      </c>
      <c r="K11" s="2" t="s">
        <v>33</v>
      </c>
      <c r="L11" s="2" t="s">
        <v>34</v>
      </c>
      <c r="M11" s="2" t="s">
        <v>35</v>
      </c>
      <c r="N11" s="2" t="s">
        <v>49</v>
      </c>
      <c r="O11" s="2" t="s">
        <v>37</v>
      </c>
      <c r="P11" s="2" t="s">
        <v>38</v>
      </c>
      <c r="Q11" s="2" t="s">
        <v>39</v>
      </c>
      <c r="R11" s="2" t="s">
        <v>40</v>
      </c>
      <c r="S11" s="2" t="s">
        <v>41</v>
      </c>
      <c r="T11" s="4">
        <v>36.120726699999999</v>
      </c>
      <c r="U11" s="4">
        <v>-115.1642896</v>
      </c>
      <c r="V11" s="2" t="s">
        <v>42</v>
      </c>
      <c r="W11" s="2" t="s">
        <v>43</v>
      </c>
      <c r="X11" s="2" t="s">
        <v>44</v>
      </c>
      <c r="Y11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4"/>
  <cols>
    <col min="1" max="1" width="32" customWidth="1"/>
    <col min="2" max="2" width="105" customWidth="1"/>
  </cols>
  <sheetData>
    <row r="1" spans="1:2" ht="37.25" customHeight="1">
      <c r="A1" s="5" t="s">
        <v>72</v>
      </c>
      <c r="B1" s="5"/>
    </row>
    <row r="2" spans="1:2" ht="16">
      <c r="A2" s="6" t="s">
        <v>73</v>
      </c>
      <c r="B2" s="2" t="s">
        <v>74</v>
      </c>
    </row>
    <row r="3" spans="1:2" ht="16">
      <c r="A3" s="6" t="s">
        <v>75</v>
      </c>
      <c r="B3" s="2" t="s">
        <v>76</v>
      </c>
    </row>
    <row r="4" spans="1:2" ht="16">
      <c r="A4" s="6" t="s">
        <v>77</v>
      </c>
      <c r="B4" s="2">
        <v>10</v>
      </c>
    </row>
    <row r="5" spans="1:2" ht="46">
      <c r="A5" s="6" t="s">
        <v>78</v>
      </c>
      <c r="B5" s="2" t="s">
        <v>79</v>
      </c>
    </row>
    <row r="6" spans="1:2" ht="32">
      <c r="A6" s="6" t="s">
        <v>80</v>
      </c>
      <c r="B6" s="2" t="s">
        <v>81</v>
      </c>
    </row>
    <row r="7" spans="1:2" ht="31">
      <c r="A7" s="6" t="s">
        <v>82</v>
      </c>
      <c r="B7" s="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4"/>
  <cols>
    <col min="1" max="1" width="24" customWidth="1"/>
    <col min="2" max="2" width="120" customWidth="1"/>
  </cols>
  <sheetData>
    <row r="1" spans="1:2" ht="15">
      <c r="A1" s="7" t="s">
        <v>84</v>
      </c>
      <c r="B1" s="7" t="s">
        <v>85</v>
      </c>
    </row>
    <row r="2" spans="1:2" ht="16">
      <c r="A2" s="8" t="s">
        <v>86</v>
      </c>
      <c r="B2" s="9" t="s">
        <v>87</v>
      </c>
    </row>
    <row r="3" spans="1:2" ht="384">
      <c r="A3" s="8" t="s">
        <v>88</v>
      </c>
      <c r="B3" s="9" t="s">
        <v>89</v>
      </c>
    </row>
    <row r="4" spans="1:2" ht="16">
      <c r="A4" s="8" t="s">
        <v>90</v>
      </c>
      <c r="B4" s="9" t="s">
        <v>91</v>
      </c>
    </row>
    <row r="5" spans="1:2" ht="384">
      <c r="A5" s="8" t="s">
        <v>92</v>
      </c>
      <c r="B5" s="9" t="s">
        <v>93</v>
      </c>
    </row>
    <row r="6" spans="1:2" ht="16">
      <c r="A6" s="8" t="s">
        <v>73</v>
      </c>
      <c r="B6" s="9" t="s">
        <v>74</v>
      </c>
    </row>
    <row r="7" spans="1:2" ht="30">
      <c r="A7" s="8" t="s">
        <v>94</v>
      </c>
      <c r="B7" s="9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3203125" defaultRowHeight="14"/>
  <cols>
    <col min="1" max="1" width="22" customWidth="1"/>
    <col min="2" max="2" width="18" customWidth="1"/>
  </cols>
  <sheetData>
    <row r="1" spans="1:2" ht="15">
      <c r="A1" s="7" t="s">
        <v>96</v>
      </c>
      <c r="B1" s="7" t="s">
        <v>97</v>
      </c>
    </row>
    <row r="2" spans="1:2">
      <c r="A2" t="s">
        <v>98</v>
      </c>
      <c r="B2">
        <f>COUNTA(Events_Extract!B2:B11)</f>
        <v>10</v>
      </c>
    </row>
    <row r="3" spans="1:2">
      <c r="A3" t="s">
        <v>99</v>
      </c>
      <c r="B3">
        <f ca="1">COUNTA(_xludf.UNIQUE(Events_Extract!B2:B11))</f>
        <v>1</v>
      </c>
    </row>
    <row r="4" spans="1:2">
      <c r="A4" t="s">
        <v>100</v>
      </c>
      <c r="B4">
        <f ca="1">COUNTA(_xludf.UNIQUE(Events_Extract!O2:O11))</f>
        <v>1</v>
      </c>
    </row>
    <row r="5" spans="1:2">
      <c r="A5" t="s">
        <v>101</v>
      </c>
      <c r="B5">
        <f ca="1">COUNTA(_xludf.UNIQUE(Events_Extract!P2:P11))</f>
        <v>1</v>
      </c>
    </row>
    <row r="6" spans="1:2">
      <c r="A6" t="s">
        <v>102</v>
      </c>
      <c r="B6" t="str">
        <f>INDEX(Events_Extract!K2:K11,1)</f>
        <v>Music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Events_Extract</vt:lpstr>
      <vt:lpstr>Summary</vt:lpstr>
      <vt:lpstr>Complete_Pull_Code</vt:lpstr>
      <vt:lpstr>Quick_Counts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P.B. Kurtz, PhD, MPH</cp:lastModifiedBy>
  <dcterms:modified xsi:type="dcterms:W3CDTF">2026-05-21T20:07:18Z</dcterms:modified>
</cp:coreProperties>
</file>